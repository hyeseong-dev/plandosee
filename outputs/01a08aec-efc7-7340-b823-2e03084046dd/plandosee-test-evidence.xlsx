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3ac0000444b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984df274859946ae"/>
    <x:sheet xmlns:r="http://schemas.openxmlformats.org/officeDocument/2006/relationships" name="테스트 케이스" sheetId="2" r:id="R76b369108deb42f6"/>
    <x:sheet xmlns:r="http://schemas.openxmlformats.org/officeDocument/2006/relationships" name="요구사항 추적" sheetId="3" r:id="R486d30f996374121"/>
    <x:sheet xmlns:r="http://schemas.openxmlformats.org/officeDocument/2006/relationships" name="실행 이력" sheetId="4" r:id="Rd116228a849443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273142"/>
      <x:name val="Arial"/>
    </x:font>
    <x:font>
      <x:b/>
      <x:sz val="16"/>
      <x:color rgb="FF24344D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b/>
      <x:sz val="14"/>
      <x:color rgb="FF24344D"/>
      <x:name val="Arial"/>
    </x:font>
    <x:font>
      <x:b/>
      <x:sz val="11"/>
      <x:color rgb="FF237A57"/>
      <x:name val="Arial"/>
    </x:font>
    <x:font>
      <x:b/>
      <x:sz val="11"/>
      <x:color rgb="FF9A67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44D"/>
      </x:patternFill>
    </x:fill>
    <x:fill>
      <x:patternFill patternType="solid">
        <x:fgColor rgb="FFFFF9F1"/>
      </x:patternFill>
    </x:fill>
    <x:fill>
      <x:patternFill patternType="solid">
        <x:fgColor rgb="FFDDF4E7"/>
      </x:patternFill>
    </x:fill>
  </x:fills>
  <x:borders count="8">
    <x:border/>
    <x:border>
      <x:bottom style="thin">
        <x:color rgb="FF24344D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top style="thin">
        <x:color rgb="FFD7DEE8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237A57"/>
      </x:font>
      <x:fill>
        <x:patternFill patternType="solid">
          <x:bgColor rgb="FFE5F6EC"/>
        </x:patternFill>
      </x:fill>
    </x:dxf>
    <x:dxf>
      <x:font>
        <x:b/>
        <x:color rgb="FF9A6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921fc331c458a" /><Relationship Type="http://schemas.openxmlformats.org/officeDocument/2006/relationships/theme" Target="/xl/theme/theme1.xml" Id="R0c670965d12840d8" /><Relationship Type="http://schemas.openxmlformats.org/officeDocument/2006/relationships/sharedStrings" Target="/xl/sharedStrings.xml" Id="Rb25132a9aa29404c" /><Relationship Type="http://schemas.openxmlformats.org/officeDocument/2006/relationships/worksheet" Target="/xl/worksheets/sheet1.xml" Id="R984df274859946ae" /><Relationship Type="http://schemas.openxmlformats.org/officeDocument/2006/relationships/worksheet" Target="/xl/worksheets/sheet2.xml" Id="R76b369108deb42f6" /><Relationship Type="http://schemas.openxmlformats.org/officeDocument/2006/relationships/worksheet" Target="/xl/worksheets/sheet3.xml" Id="R486d30f996374121" /><Relationship Type="http://schemas.openxmlformats.org/officeDocument/2006/relationships/worksheet" Target="/xl/worksheets/sheet4.xml" Id="Rd116228a849443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44D"/>
  </x:sheetPr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26" hidden="0" customWidth="1"/>
    <x:col min="4" max="4" width="20" hidden="0" customWidth="1"/>
    <x:col min="5" max="5" width="16" hidden="0" customWidth="1"/>
    <x:col min="6" max="6" width="15" hidden="0" customWidth="1"/>
    <x:col min="7" max="7" width="10" hidden="0" customWidth="1"/>
    <x:col min="8" max="8" width="2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PlanDoSee 테스트 근거</x:v>
      </x:c>
      <x:c r="B2" s="2"/>
      <x:c r="C2" s="2"/>
      <x:c r="D2" s="2"/>
      <x:c r="E2" s="2"/>
      <x:c r="F2" s="2"/>
      <x:c r="G2" s="2"/>
      <x:c r="H2" s="2"/>
    </x:row>
    <x:row r="3">
      <x:c r="A3" s="4" t="str">
        <x:v>로컬 및 운영 검증 결과 · Asia/Seoul · 2026-09-10</x:v>
      </x:c>
      <x:c r="B3" s="2"/>
      <x:c r="C3" s="2"/>
      <x:c r="D3" s="2"/>
      <x:c r="E3" s="2"/>
      <x:c r="F3" s="2"/>
      <x:c r="G3" s="2"/>
      <x:c r="H3" s="2"/>
    </x:row>
    <x:row r="4">
      <x:c r="A4" s="5"/>
      <x:c r="B4" s="5"/>
      <x:c r="C4" s="5"/>
      <x:c r="D4" s="5"/>
      <x:c r="E4" s="5"/>
      <x:c r="F4" s="5"/>
      <x:c r="G4" s="5"/>
      <x:c r="H4" s="5"/>
    </x:row>
    <x:row r="5">
      <x:c r="A5" s="2"/>
      <x:c r="B5" s="2"/>
      <x:c r="C5" s="2"/>
      <x:c r="D5" s="2"/>
      <x:c r="E5" s="2"/>
      <x:c r="F5" s="2"/>
      <x:c r="G5" s="2"/>
      <x:c r="H5" s="2"/>
    </x:row>
    <x:row r="6" ht="28" customHeight="1">
      <x:c r="A6" s="12" t="str">
        <x:v>구분</x:v>
      </x:c>
      <x:c r="B6" s="13" t="str">
        <x:v>값</x:v>
      </x:c>
      <x:c r="C6" s="2"/>
      <x:c r="D6" s="2"/>
      <x:c r="E6" s="2"/>
      <x:c r="F6" s="2"/>
      <x:c r="G6" s="2"/>
      <x:c r="H6" s="2"/>
    </x:row>
    <x:row r="7">
      <x:c r="A7" s="14" t="str">
        <x:v>전체 케이스</x:v>
      </x:c>
      <x:c r="B7" s="15" t="n">
        <x:f>COUNTA('테스트 케이스'!$A$7:$A$200)</x:f>
        <x:v>14</x:v>
      </x:c>
      <x:c r="C7" s="2"/>
      <x:c r="D7" s="2"/>
      <x:c r="E7" s="2"/>
      <x:c r="F7" s="2"/>
      <x:c r="G7" s="2"/>
      <x:c r="H7" s="2"/>
    </x:row>
    <x:row r="8">
      <x:c r="A8" s="14" t="str">
        <x:v>통과</x:v>
      </x:c>
      <x:c r="B8" s="15" t="n">
        <x:f>COUNTIF('테스트 케이스'!$H$7:$H$200,"통과")</x:f>
        <x:v>10</x:v>
      </x:c>
      <x:c r="C8" s="2"/>
      <x:c r="D8" s="2"/>
      <x:c r="E8" s="2"/>
      <x:c r="F8" s="2"/>
      <x:c r="G8" s="2"/>
      <x:c r="H8" s="2"/>
    </x:row>
    <x:row r="9">
      <x:c r="A9" s="14" t="str">
        <x:v>실패</x:v>
      </x:c>
      <x:c r="B9" s="15" t="n">
        <x:f>COUNTIF('테스트 케이스'!$H$7:$H$200,"실패")</x:f>
        <x:v>0</x:v>
      </x:c>
      <x:c r="C9" s="2"/>
      <x:c r="D9" s="2"/>
      <x:c r="E9" s="2"/>
      <x:c r="F9" s="2"/>
      <x:c r="G9" s="2"/>
      <x:c r="H9" s="2"/>
    </x:row>
    <x:row r="10">
      <x:c r="A10" s="14" t="str">
        <x:v>대기</x:v>
      </x:c>
      <x:c r="B10" s="15" t="n">
        <x:f>COUNTIF('테스트 케이스'!$H$7:$H$200,"대기")</x:f>
        <x:v>4</x:v>
      </x:c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28" customHeight="1">
      <x:c r="A12" s="12" t="str">
        <x:v>환경</x:v>
      </x:c>
      <x:c r="B12" s="18" t="str">
        <x:v>실행 시각</x:v>
      </x:c>
      <x:c r="C12" s="18" t="str">
        <x:v>명령/대상</x:v>
      </x:c>
      <x:c r="D12" s="18" t="str">
        <x:v>단위</x:v>
      </x:c>
      <x:c r="E12" s="18" t="str">
        <x:v>브라우저</x:v>
      </x:c>
      <x:c r="F12" s="18" t="str">
        <x:v>결과</x:v>
      </x:c>
      <x:c r="G12" s="18" t="str">
        <x:v>통과</x:v>
      </x:c>
      <x:c r="H12" s="13" t="str">
        <x:v>비고</x:v>
      </x:c>
    </x:row>
    <x:row r="13">
      <x:c r="A13" s="19" t="str">
        <x:v>로컬</x:v>
      </x:c>
      <x:c r="B13" s="19" t="str">
        <x:v>2026-09-10 22:35 KST</x:v>
      </x:c>
      <x:c r="C13" s="19" t="str">
        <x:v>pnpm test:all</x:v>
      </x:c>
      <x:c r="D13" s="19" t="str">
        <x:v>8 unit + 6 E2E</x:v>
      </x:c>
      <x:c r="E13" s="19" t="str">
        <x:v>Chromium</x:v>
      </x:c>
      <x:c r="F13" s="19" t="str">
        <x:v>모두 통과</x:v>
      </x:c>
      <x:c r="G13" s="19" t="n">
        <x:v>14</x:v>
      </x:c>
      <x:c r="H13" s="19" t="str">
        <x:v>린트·타입·빌드 포함</x:v>
      </x:c>
    </x:row>
    <x:row r="14">
      <x:c r="A14" s="20" t="str">
        <x:v>운영</x:v>
      </x:c>
      <x:c r="B14" s="20" t="str">
        <x:v>배포 후 갱신</x:v>
      </x:c>
      <x:c r="C14" s="20" t="str">
        <x:v>Vercel URL</x:v>
      </x:c>
      <x:c r="D14" s="20" t="str">
        <x:v>익명 스모크</x:v>
      </x:c>
      <x:c r="E14" s="20" t="str">
        <x:v>Chromium</x:v>
      </x:c>
      <x:c r="F14" s="20" t="str">
        <x:v>대기</x:v>
      </x:c>
      <x:c r="G14" s="20" t="n">
        <x:v>0</x:v>
      </x:c>
      <x:c r="H14" s="20" t="str">
        <x:v>시크릿 컨텍스트</x:v>
      </x:c>
    </x:row>
    <x:row r="15">
      <x:c r="A15" s="21" t="str">
        <x:v>근거</x:v>
      </x:c>
      <x:c r="B15" s="21" t="str">
        <x:v>2026-09-10</x:v>
      </x:c>
      <x:c r="C15" s="21" t="str">
        <x:v>Playwright JSON + 명령 출력</x:v>
      </x:c>
      <x:c r="D15" s="21" t="str">
        <x:v>자동화</x:v>
      </x:c>
      <x:c r="E15" s="21" t="str">
        <x:v>-</x:v>
      </x:c>
      <x:c r="F15" s="21" t="str">
        <x:v>보존</x:v>
      </x:c>
      <x:c r="G15" s="21"/>
      <x:c r="H15" s="21" t="str">
        <x:v>상세는 테스트 케이스/실행 이력</x:v>
      </x:c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3" t="str">
        <x:v>판정</x:v>
      </x:c>
      <x:c r="B18" s="2" t="str">
        <x:v>핵심 확인</x:v>
      </x:c>
      <x:c r="C18" s="2"/>
      <x:c r="D18" s="2"/>
      <x:c r="E18" s="2"/>
      <x:c r="F18" s="2"/>
      <x:c r="G18" s="2"/>
      <x:c r="H18" s="2"/>
    </x:row>
    <x:row r="19" ht="34" customHeight="1">
      <x:c r="A19" s="24" t="str">
        <x:v>로컬 통과</x:v>
      </x:c>
      <x:c r="B19" s="26" t="str">
        <x:v>요구사항 집계, 새로고침 복원, 중복 완료 방지, XSS 안전 표시, 반응형·접근성, 전체 내보내기를 자동 검증했습니다.</x:v>
      </x:c>
      <x:c r="C19" s="26"/>
      <x:c r="D19" s="26"/>
      <x:c r="E19" s="26"/>
      <x:c r="F19" s="26"/>
      <x:c r="G19" s="26"/>
      <x:c r="H19" s="26"/>
    </x:row>
    <x:row r="20" ht="34" customHeight="1">
      <x:c r="A20" s="25" t="str">
        <x:v>운영 대기</x:v>
      </x:c>
      <x:c r="B20" s="26" t="str">
        <x:v>Vercel 배포와 익명 운영 검증 후 동일 파일을 갱신합니다.</x:v>
      </x:c>
      <x:c r="C20" s="26"/>
      <x:c r="D20" s="26"/>
      <x:c r="E20" s="26"/>
      <x:c r="F20" s="26"/>
      <x:c r="G20" s="26"/>
      <x:c r="H20" s="26"/>
    </x:row>
  </x:sheetData>
  <x:mergeCells>
    <x:mergeCell ref="A2:H2"/>
    <x:mergeCell ref="A3:H3"/>
    <x:mergeCell ref="A18:H18"/>
    <x:mergeCell ref="B19:H19"/>
    <x:mergeCell ref="B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8C7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13" hidden="0" customWidth="1"/>
    <x:col min="4" max="4" width="27" hidden="0" customWidth="1"/>
    <x:col min="5" max="5" width="28" hidden="0" customWidth="1"/>
    <x:col min="6" max="6" width="30" hidden="0" customWidth="1"/>
    <x:col min="7" max="7" width="24" hidden="0" customWidth="1"/>
    <x:col min="8" max="8" width="11" hidden="0" customWidth="1"/>
    <x:col min="9" max="9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테스트 케이스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실행 단위별 기대 결과와 관찰 결과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28" customHeight="1">
      <x:c r="A6" s="12" t="str">
        <x:v>ID</x:v>
      </x:c>
      <x:c r="B6" s="18" t="str">
        <x:v>환경</x:v>
      </x:c>
      <x:c r="C6" s="18" t="str">
        <x:v>종류</x:v>
      </x:c>
      <x:c r="D6" s="18" t="str">
        <x:v>대상</x:v>
      </x:c>
      <x:c r="E6" s="18" t="str">
        <x:v>절차/명령</x:v>
      </x:c>
      <x:c r="F6" s="18" t="str">
        <x:v>기대 결과</x:v>
      </x:c>
      <x:c r="G6" s="18" t="str">
        <x:v>관찰 결과</x:v>
      </x:c>
      <x:c r="H6" s="18" t="str">
        <x:v>판정</x:v>
      </x:c>
      <x:c r="I6" s="13" t="str">
        <x:v>근거</x:v>
      </x:c>
    </x:row>
    <x:row r="7" ht="32" customHeight="1">
      <x:c r="A7" s="19" t="str">
        <x:v>L-001</x:v>
      </x:c>
      <x:c r="B7" s="19" t="str">
        <x:v>로컬</x:v>
      </x:c>
      <x:c r="C7" s="19" t="str">
        <x:v>정적 품질</x:v>
      </x:c>
      <x:c r="D7" s="27" t="str">
        <x:v>ESLint</x:v>
      </x:c>
      <x:c r="E7" s="27" t="str">
        <x:v>pnpm lint</x:v>
      </x:c>
      <x:c r="F7" s="27" t="str">
        <x:v>오류 0건</x:v>
      </x:c>
      <x:c r="G7" s="27" t="str">
        <x:v>오류 0건</x:v>
      </x:c>
      <x:c r="H7" s="19" t="str">
        <x:v>통과</x:v>
      </x:c>
      <x:c r="I7" s="19" t="str">
        <x:v>콘솔 출력</x:v>
      </x:c>
    </x:row>
    <x:row r="8" ht="32" customHeight="1">
      <x:c r="A8" s="20" t="str">
        <x:v>L-002</x:v>
      </x:c>
      <x:c r="B8" s="20" t="str">
        <x:v>로컬</x:v>
      </x:c>
      <x:c r="C8" s="20" t="str">
        <x:v>정적 품질</x:v>
      </x:c>
      <x:c r="D8" s="28" t="str">
        <x:v>TypeScript</x:v>
      </x:c>
      <x:c r="E8" s="28" t="str">
        <x:v>pnpm typecheck</x:v>
      </x:c>
      <x:c r="F8" s="28" t="str">
        <x:v>오류 0건</x:v>
      </x:c>
      <x:c r="G8" s="28" t="str">
        <x:v>오류 0건</x:v>
      </x:c>
      <x:c r="H8" s="20" t="str">
        <x:v>통과</x:v>
      </x:c>
      <x:c r="I8" s="20" t="str">
        <x:v>콘솔 출력</x:v>
      </x:c>
    </x:row>
    <x:row r="9" ht="32" customHeight="1">
      <x:c r="A9" s="20" t="str">
        <x:v>L-003</x:v>
      </x:c>
      <x:c r="B9" s="20" t="str">
        <x:v>로컬</x:v>
      </x:c>
      <x:c r="C9" s="20" t="str">
        <x:v>단위</x:v>
      </x:c>
      <x:c r="D9" s="28" t="str">
        <x:v>도메인·검증</x:v>
      </x:c>
      <x:c r="E9" s="28" t="str">
        <x:v>pnpm test</x:v>
      </x:c>
      <x:c r="F9" s="28" t="str">
        <x:v>8건 통과</x:v>
      </x:c>
      <x:c r="G9" s="28" t="str">
        <x:v>8건 통과</x:v>
      </x:c>
      <x:c r="H9" s="20" t="str">
        <x:v>통과</x:v>
      </x:c>
      <x:c r="I9" s="20" t="str">
        <x:v>Vitest</x:v>
      </x:c>
    </x:row>
    <x:row r="10" ht="32" customHeight="1">
      <x:c r="A10" s="20" t="str">
        <x:v>L-004</x:v>
      </x:c>
      <x:c r="B10" s="20" t="str">
        <x:v>로컬</x:v>
      </x:c>
      <x:c r="C10" s="20" t="str">
        <x:v>빌드</x:v>
      </x:c>
      <x:c r="D10" s="28" t="str">
        <x:v>Next.js 프로덕션</x:v>
      </x:c>
      <x:c r="E10" s="28" t="str">
        <x:v>pnpm build</x:v>
      </x:c>
      <x:c r="F10" s="28" t="str">
        <x:v>빌드 성공</x:v>
      </x:c>
      <x:c r="G10" s="28" t="str">
        <x:v>빌드 성공</x:v>
      </x:c>
      <x:c r="H10" s="20" t="str">
        <x:v>통과</x:v>
      </x:c>
      <x:c r="I10" s="20" t="str">
        <x:v>Next.js 16.3.4</x:v>
      </x:c>
    </x:row>
    <x:row r="11" ht="32" customHeight="1">
      <x:c r="A11" s="20" t="str">
        <x:v>L-005</x:v>
      </x:c>
      <x:c r="B11" s="20" t="str">
        <x:v>로컬</x:v>
      </x:c>
      <x:c r="C11" s="20" t="str">
        <x:v>E2E</x:v>
      </x:c>
      <x:c r="D11" s="28" t="str">
        <x:v>공개 안내·반응형·접근성</x:v>
      </x:c>
      <x:c r="E11" s="28" t="str">
        <x:v>첫 화면/360px/axe</x:v>
      </x:c>
      <x:c r="F11" s="28" t="str">
        <x:v>심각 위반 0</x:v>
      </x:c>
      <x:c r="G11" s="28" t="str">
        <x:v>심각 위반 0</x:v>
      </x:c>
      <x:c r="H11" s="20" t="str">
        <x:v>통과</x:v>
      </x:c>
      <x:c r="I11" s="20" t="str">
        <x:v>Playwright JSON</x:v>
      </x:c>
    </x:row>
    <x:row r="12" ht="32" customHeight="1">
      <x:c r="A12" s="20" t="str">
        <x:v>L-006</x:v>
      </x:c>
      <x:c r="B12" s="20" t="str">
        <x:v>로컬</x:v>
      </x:c>
      <x:c r="C12" s="20" t="str">
        <x:v>E2E</x:v>
      </x:c>
      <x:c r="D12" s="28" t="str">
        <x:v>검색·필터·집계 근거</x:v>
      </x:c>
      <x:c r="E12" s="28" t="str">
        <x:v>완료 필터와 돌아보기</x:v>
      </x:c>
      <x:c r="F12" s="28" t="str">
        <x:v>5/2/1/2, 90/55/-35분</x:v>
      </x:c>
      <x:c r="G12" s="28" t="str">
        <x:v>일치</x:v>
      </x:c>
      <x:c r="H12" s="20" t="str">
        <x:v>통과</x:v>
      </x:c>
      <x:c r="I12" s="20" t="str">
        <x:v>Playwright JSON</x:v>
      </x:c>
    </x:row>
    <x:row r="13" ht="32" customHeight="1">
      <x:c r="A13" s="20" t="str">
        <x:v>L-007</x:v>
      </x:c>
      <x:c r="B13" s="20" t="str">
        <x:v>로컬</x:v>
      </x:c>
      <x:c r="C13" s="20" t="str">
        <x:v>E2E</x:v>
      </x:c>
      <x:c r="D13" s="28" t="str">
        <x:v>할 일 CRUD·복원·XSS</x:v>
      </x:c>
      <x:c r="E13" s="28" t="str">
        <x:v>1초 값과 스크립트형 문자열</x:v>
      </x:c>
      <x:c r="F13" s="28" t="str">
        <x:v>복원 및 문자 표시</x:v>
      </x:c>
      <x:c r="G13" s="28" t="str">
        <x:v>일치</x:v>
      </x:c>
      <x:c r="H13" s="20" t="str">
        <x:v>통과</x:v>
      </x:c>
      <x:c r="I13" s="20" t="str">
        <x:v>Playwright JSON</x:v>
      </x:c>
    </x:row>
    <x:row r="14" ht="32" customHeight="1">
      <x:c r="A14" s="20" t="str">
        <x:v>L-008</x:v>
      </x:c>
      <x:c r="B14" s="20" t="str">
        <x:v>로컬</x:v>
      </x:c>
      <x:c r="C14" s="20" t="str">
        <x:v>E2E</x:v>
      </x:c>
      <x:c r="D14" s="28" t="str">
        <x:v>중복 완료 방지</x:v>
      </x:c>
      <x:c r="E14" s="28" t="str">
        <x:v>완료 버튼 빠른 2회</x:v>
      </x:c>
      <x:c r="F14" s="28" t="str">
        <x:v>이벤트 1·완료 수 +1</x:v>
      </x:c>
      <x:c r="G14" s="28" t="str">
        <x:v>일치</x:v>
      </x:c>
      <x:c r="H14" s="20" t="str">
        <x:v>통과</x:v>
      </x:c>
      <x:c r="I14" s="20" t="str">
        <x:v>Playwright JSON</x:v>
      </x:c>
    </x:row>
    <x:row r="15" ht="32" customHeight="1">
      <x:c r="A15" s="20" t="str">
        <x:v>L-009</x:v>
      </x:c>
      <x:c r="B15" s="20" t="str">
        <x:v>로컬</x:v>
      </x:c>
      <x:c r="C15" s="20" t="str">
        <x:v>E2E</x:v>
      </x:c>
      <x:c r="D15" s="28" t="str">
        <x:v>계획 이력·돌아보기·전달</x:v>
      </x:c>
      <x:c r="E15" s="28" t="str">
        <x:v>수정/저장/다음 계획</x:v>
      </x:c>
      <x:c r="F15" s="28" t="str">
        <x:v>이전 값 보존·개선점 전달</x:v>
      </x:c>
      <x:c r="G15" s="28" t="str">
        <x:v>일치</x:v>
      </x:c>
      <x:c r="H15" s="20" t="str">
        <x:v>통과</x:v>
      </x:c>
      <x:c r="I15" s="20" t="str">
        <x:v>Playwright JSON</x:v>
      </x:c>
    </x:row>
    <x:row r="16" ht="32" customHeight="1">
      <x:c r="A16" s="20" t="str">
        <x:v>L-010</x:v>
      </x:c>
      <x:c r="B16" s="20" t="str">
        <x:v>로컬</x:v>
      </x:c>
      <x:c r="C16" s="20" t="str">
        <x:v>E2E</x:v>
      </x:c>
      <x:c r="D16" s="28" t="str">
        <x:v>전체 자료 내보내기</x:v>
      </x:c>
      <x:c r="E16" s="28" t="str">
        <x:v>JSON 다운로드</x:v>
      </x:c>
      <x:c r="F16" s="28" t="str">
        <x:v>계획·할 일·실행·리뷰 포함</x:v>
      </x:c>
      <x:c r="G16" s="28" t="str">
        <x:v>일치</x:v>
      </x:c>
      <x:c r="H16" s="20" t="str">
        <x:v>통과</x:v>
      </x:c>
      <x:c r="I16" s="20" t="str">
        <x:v>Playwright JSON</x:v>
      </x:c>
    </x:row>
    <x:row r="17" ht="32" customHeight="1">
      <x:c r="A17" s="20" t="str">
        <x:v>P-001</x:v>
      </x:c>
      <x:c r="B17" s="20" t="str">
        <x:v>운영</x:v>
      </x:c>
      <x:c r="C17" s="20" t="str">
        <x:v>스모크</x:v>
      </x:c>
      <x:c r="D17" s="28" t="str">
        <x:v>익명 URL·공개 안내</x:v>
      </x:c>
      <x:c r="E17" s="28" t="str">
        <x:v>배포 후 실행</x:v>
      </x:c>
      <x:c r="F17" s="28" t="str">
        <x:v>인증 없이 표시</x:v>
      </x:c>
      <x:c r="G17" s="28" t="str">
        <x:v>미실행</x:v>
      </x:c>
      <x:c r="H17" s="20" t="str">
        <x:v>대기</x:v>
      </x:c>
      <x:c r="I17" s="20" t="str">
        <x:v>운영 배포 후 갱신</x:v>
      </x:c>
    </x:row>
    <x:row r="18" ht="32" customHeight="1">
      <x:c r="A18" s="20" t="str">
        <x:v>P-002</x:v>
      </x:c>
      <x:c r="B18" s="20" t="str">
        <x:v>운영</x:v>
      </x:c>
      <x:c r="C18" s="20" t="str">
        <x:v>스모크</x:v>
      </x:c>
      <x:c r="D18" s="28" t="str">
        <x:v>DB 자료·집계 근거</x:v>
      </x:c>
      <x:c r="E18" s="28" t="str">
        <x:v>배포 후 실행</x:v>
      </x:c>
      <x:c r="F18" s="28" t="str">
        <x:v>실제 계획 1·할 일 5·기록 3+</x:v>
      </x:c>
      <x:c r="G18" s="28" t="str">
        <x:v>미실행</x:v>
      </x:c>
      <x:c r="H18" s="20" t="str">
        <x:v>대기</x:v>
      </x:c>
      <x:c r="I18" s="20" t="str">
        <x:v>운영 배포 후 갱신</x:v>
      </x:c>
    </x:row>
    <x:row r="19" ht="32" customHeight="1">
      <x:c r="A19" s="20" t="str">
        <x:v>P-003</x:v>
      </x:c>
      <x:c r="B19" s="20" t="str">
        <x:v>운영</x:v>
      </x:c>
      <x:c r="C19" s="20" t="str">
        <x:v>스모크</x:v>
      </x:c>
      <x:c r="D19" s="28" t="str">
        <x:v>새로고침·내보내기</x:v>
      </x:c>
      <x:c r="E19" s="28" t="str">
        <x:v>배포 후 실행</x:v>
      </x:c>
      <x:c r="F19" s="28" t="str">
        <x:v>자료 유지·JSON 정상</x:v>
      </x:c>
      <x:c r="G19" s="28" t="str">
        <x:v>미실행</x:v>
      </x:c>
      <x:c r="H19" s="20" t="str">
        <x:v>대기</x:v>
      </x:c>
      <x:c r="I19" s="20" t="str">
        <x:v>운영 배포 후 갱신</x:v>
      </x:c>
    </x:row>
    <x:row r="20" ht="32" customHeight="1">
      <x:c r="A20" s="21" t="str">
        <x:v>P-004</x:v>
      </x:c>
      <x:c r="B20" s="21" t="str">
        <x:v>운영</x:v>
      </x:c>
      <x:c r="C20" s="21" t="str">
        <x:v>보안</x:v>
      </x:c>
      <x:c r="D20" s="29" t="str">
        <x:v>콘솔·응답·공개 소스</x:v>
      </x:c>
      <x:c r="E20" s="29" t="str">
        <x:v>배포 후 실행</x:v>
      </x:c>
      <x:c r="F20" s="29" t="str">
        <x:v>비밀 노출 0</x:v>
      </x:c>
      <x:c r="G20" s="29" t="str">
        <x:v>미실행</x:v>
      </x:c>
      <x:c r="H20" s="21" t="str">
        <x:v>대기</x:v>
      </x:c>
      <x:c r="I20" s="21" t="str">
        <x:v>운영 배포 후 갱신</x:v>
      </x:c>
    </x:row>
  </x:sheetData>
  <x:mergeCells>
    <x:mergeCell ref="A2:I2"/>
    <x:mergeCell ref="A3:I3"/>
  </x:mergeCells>
  <x:conditionalFormatting sqref="H7:H20">
    <x:cfRule type="containsText" dxfId="0" priority="1" operator="containsText" text="통과"/>
    <x:cfRule type="containsText" dxfId="1" priority="2" operator="containsText" text="대기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6A55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24" hidden="0" customWidth="1"/>
    <x:col min="4" max="4" width="28" hidden="0" customWidth="1"/>
  </x:cols>
  <x:sheetData>
    <x:row r="1">
      <x:c r="A1" s="2"/>
      <x:c r="B1" s="2"/>
      <x:c r="C1" s="2"/>
      <x:c r="D1" s="2"/>
    </x:row>
    <x:row r="2">
      <x:c r="A2" s="3" t="str">
        <x:v>요구사항 추적</x:v>
      </x:c>
      <x:c r="B2" s="2"/>
      <x:c r="C2" s="2"/>
      <x:c r="D2" s="2"/>
    </x:row>
    <x:row r="3">
      <x:c r="A3" s="4" t="str">
        <x:v>44개 원문 ID와 테스트 근거 연결</x:v>
      </x:c>
      <x:c r="B3" s="2"/>
      <x:c r="C3" s="2"/>
      <x:c r="D3" s="2"/>
    </x:row>
    <x:row r="4">
      <x:c r="A4" s="5"/>
      <x:c r="B4" s="5"/>
      <x:c r="C4" s="5"/>
      <x:c r="D4" s="5"/>
    </x:row>
    <x:row r="5">
      <x:c r="A5" s="2"/>
      <x:c r="B5" s="2"/>
      <x:c r="C5" s="2"/>
      <x:c r="D5" s="2"/>
    </x:row>
    <x:row r="6" ht="28" customHeight="1">
      <x:c r="A6" s="12" t="str">
        <x:v>요구사항 ID</x:v>
      </x:c>
      <x:c r="B6" s="18" t="str">
        <x:v>근거 ID</x:v>
      </x:c>
      <x:c r="C6" s="18" t="str">
        <x:v>현재 상태</x:v>
      </x:c>
      <x:c r="D6" s="13" t="str">
        <x:v>명세 출처</x:v>
      </x:c>
    </x:row>
    <x:row r="7">
      <x:c r="A7" s="19" t="str">
        <x:v>T06-C04</x:v>
      </x:c>
      <x:c r="B7" s="19" t="str">
        <x:v>L-009</x:v>
      </x:c>
      <x:c r="C7" s="19" t="str">
        <x:v>로컬 통과</x:v>
      </x:c>
      <x:c r="D7" s="19" t="str">
        <x:v>docs/REQUIREMENTS.md</x:v>
      </x:c>
    </x:row>
    <x:row r="8">
      <x:c r="A8" s="20" t="str">
        <x:v>T06-C05</x:v>
      </x:c>
      <x:c r="B8" s="20" t="str">
        <x:v>L-009</x:v>
      </x:c>
      <x:c r="C8" s="20" t="str">
        <x:v>로컬 통과</x:v>
      </x:c>
      <x:c r="D8" s="20" t="str">
        <x:v>docs/REQUIREMENTS.md</x:v>
      </x:c>
    </x:row>
    <x:row r="9">
      <x:c r="A9" s="20" t="str">
        <x:v>T06-C06</x:v>
      </x:c>
      <x:c r="B9" s="20" t="str">
        <x:v>L-009</x:v>
      </x:c>
      <x:c r="C9" s="20" t="str">
        <x:v>로컬 통과</x:v>
      </x:c>
      <x:c r="D9" s="20" t="str">
        <x:v>docs/REQUIREMENTS.md</x:v>
      </x:c>
    </x:row>
    <x:row r="10">
      <x:c r="A10" s="20" t="str">
        <x:v>T06-C07</x:v>
      </x:c>
      <x:c r="B10" s="20" t="str">
        <x:v>L-009</x:v>
      </x:c>
      <x:c r="C10" s="20" t="str">
        <x:v>로컬 통과</x:v>
      </x:c>
      <x:c r="D10" s="20" t="str">
        <x:v>docs/REQUIREMENTS.md</x:v>
      </x:c>
    </x:row>
    <x:row r="11">
      <x:c r="A11" s="20" t="str">
        <x:v>T06-C08</x:v>
      </x:c>
      <x:c r="B11" s="20" t="str">
        <x:v>L-009</x:v>
      </x:c>
      <x:c r="C11" s="20" t="str">
        <x:v>로컬 통과</x:v>
      </x:c>
      <x:c r="D11" s="20" t="str">
        <x:v>docs/REQUIREMENTS.md</x:v>
      </x:c>
    </x:row>
    <x:row r="12">
      <x:c r="A12" s="20" t="str">
        <x:v>T06-C09</x:v>
      </x:c>
      <x:c r="B12" s="20" t="str">
        <x:v>L-006, L-007</x:v>
      </x:c>
      <x:c r="C12" s="20" t="str">
        <x:v>로컬 통과</x:v>
      </x:c>
      <x:c r="D12" s="20" t="str">
        <x:v>docs/REQUIREMENTS.md</x:v>
      </x:c>
    </x:row>
    <x:row r="13">
      <x:c r="A13" s="20" t="str">
        <x:v>T06-C10</x:v>
      </x:c>
      <x:c r="B13" s="20" t="str">
        <x:v>L-006, L-007</x:v>
      </x:c>
      <x:c r="C13" s="20" t="str">
        <x:v>로컬 통과</x:v>
      </x:c>
      <x:c r="D13" s="20" t="str">
        <x:v>docs/REQUIREMENTS.md</x:v>
      </x:c>
    </x:row>
    <x:row r="14">
      <x:c r="A14" s="20" t="str">
        <x:v>T06-C11</x:v>
      </x:c>
      <x:c r="B14" s="20" t="str">
        <x:v>L-006, L-007</x:v>
      </x:c>
      <x:c r="C14" s="20" t="str">
        <x:v>로컬 통과</x:v>
      </x:c>
      <x:c r="D14" s="20" t="str">
        <x:v>docs/REQUIREMENTS.md</x:v>
      </x:c>
    </x:row>
    <x:row r="15">
      <x:c r="A15" s="20" t="str">
        <x:v>T06-C12</x:v>
      </x:c>
      <x:c r="B15" s="20" t="str">
        <x:v>L-006, L-007</x:v>
      </x:c>
      <x:c r="C15" s="20" t="str">
        <x:v>로컬 통과</x:v>
      </x:c>
      <x:c r="D15" s="20" t="str">
        <x:v>docs/REQUIREMENTS.md</x:v>
      </x:c>
    </x:row>
    <x:row r="16">
      <x:c r="A16" s="20" t="str">
        <x:v>T06-C13</x:v>
      </x:c>
      <x:c r="B16" s="20" t="str">
        <x:v>L-006, L-007</x:v>
      </x:c>
      <x:c r="C16" s="20" t="str">
        <x:v>로컬 통과</x:v>
      </x:c>
      <x:c r="D16" s="20" t="str">
        <x:v>docs/REQUIREMENTS.md</x:v>
      </x:c>
    </x:row>
    <x:row r="17">
      <x:c r="A17" s="20" t="str">
        <x:v>T06-C14</x:v>
      </x:c>
      <x:c r="B17" s="20" t="str">
        <x:v>L-006, L-007</x:v>
      </x:c>
      <x:c r="C17" s="20" t="str">
        <x:v>로컬 통과</x:v>
      </x:c>
      <x:c r="D17" s="20" t="str">
        <x:v>docs/REQUIREMENTS.md</x:v>
      </x:c>
    </x:row>
    <x:row r="18">
      <x:c r="A18" s="20" t="str">
        <x:v>T06-C15</x:v>
      </x:c>
      <x:c r="B18" s="20" t="str">
        <x:v>L-006, L-007</x:v>
      </x:c>
      <x:c r="C18" s="20" t="str">
        <x:v>로컬 통과</x:v>
      </x:c>
      <x:c r="D18" s="20" t="str">
        <x:v>docs/REQUIREMENTS.md</x:v>
      </x:c>
    </x:row>
    <x:row r="19">
      <x:c r="A19" s="20" t="str">
        <x:v>T06-C16</x:v>
      </x:c>
      <x:c r="B19" s="20" t="str">
        <x:v>L-006, L-007</x:v>
      </x:c>
      <x:c r="C19" s="20" t="str">
        <x:v>로컬 통과</x:v>
      </x:c>
      <x:c r="D19" s="20" t="str">
        <x:v>docs/REQUIREMENTS.md</x:v>
      </x:c>
    </x:row>
    <x:row r="20">
      <x:c r="A20" s="20" t="str">
        <x:v>T06-C17</x:v>
      </x:c>
      <x:c r="B20" s="20" t="str">
        <x:v>L-006, L-007</x:v>
      </x:c>
      <x:c r="C20" s="20" t="str">
        <x:v>로컬 통과</x:v>
      </x:c>
      <x:c r="D20" s="20" t="str">
        <x:v>docs/REQUIREMENTS.md</x:v>
      </x:c>
    </x:row>
    <x:row r="21">
      <x:c r="A21" s="20" t="str">
        <x:v>T06-C18</x:v>
      </x:c>
      <x:c r="B21" s="20" t="str">
        <x:v>L-006, L-007</x:v>
      </x:c>
      <x:c r="C21" s="20" t="str">
        <x:v>로컬 통과</x:v>
      </x:c>
      <x:c r="D21" s="20" t="str">
        <x:v>docs/REQUIREMENTS.md</x:v>
      </x:c>
    </x:row>
    <x:row r="22">
      <x:c r="A22" s="20" t="str">
        <x:v>T06-C19</x:v>
      </x:c>
      <x:c r="B22" s="20" t="str">
        <x:v>L-006, L-007</x:v>
      </x:c>
      <x:c r="C22" s="20" t="str">
        <x:v>로컬 통과</x:v>
      </x:c>
      <x:c r="D22" s="20" t="str">
        <x:v>docs/REQUIREMENTS.md</x:v>
      </x:c>
    </x:row>
    <x:row r="23">
      <x:c r="A23" s="20" t="str">
        <x:v>T06-C20</x:v>
      </x:c>
      <x:c r="B23" s="20" t="str">
        <x:v>L-006, L-007</x:v>
      </x:c>
      <x:c r="C23" s="20" t="str">
        <x:v>로컬 통과</x:v>
      </x:c>
      <x:c r="D23" s="20" t="str">
        <x:v>docs/REQUIREMENTS.md</x:v>
      </x:c>
    </x:row>
    <x:row r="24">
      <x:c r="A24" s="20" t="str">
        <x:v>T06-C23</x:v>
      </x:c>
      <x:c r="B24" s="20" t="str">
        <x:v>L-007, L-009</x:v>
      </x:c>
      <x:c r="C24" s="20" t="str">
        <x:v>로컬 통과</x:v>
      </x:c>
      <x:c r="D24" s="20" t="str">
        <x:v>docs/REQUIREMENTS.md</x:v>
      </x:c>
    </x:row>
    <x:row r="25">
      <x:c r="A25" s="20" t="str">
        <x:v>T06-C24</x:v>
      </x:c>
      <x:c r="B25" s="20" t="str">
        <x:v>L-007, L-009</x:v>
      </x:c>
      <x:c r="C25" s="20" t="str">
        <x:v>로컬 통과</x:v>
      </x:c>
      <x:c r="D25" s="20" t="str">
        <x:v>docs/REQUIREMENTS.md</x:v>
      </x:c>
    </x:row>
    <x:row r="26">
      <x:c r="A26" s="20" t="str">
        <x:v>T06-C25</x:v>
      </x:c>
      <x:c r="B26" s="20" t="str">
        <x:v>L-007, L-009</x:v>
      </x:c>
      <x:c r="C26" s="20" t="str">
        <x:v>로컬 통과</x:v>
      </x:c>
      <x:c r="D26" s="20" t="str">
        <x:v>docs/REQUIREMENTS.md</x:v>
      </x:c>
    </x:row>
    <x:row r="27">
      <x:c r="A27" s="20" t="str">
        <x:v>T06-C26</x:v>
      </x:c>
      <x:c r="B27" s="20" t="str">
        <x:v>L-007, L-009</x:v>
      </x:c>
      <x:c r="C27" s="20" t="str">
        <x:v>로컬 통과</x:v>
      </x:c>
      <x:c r="D27" s="20" t="str">
        <x:v>docs/REQUIREMENTS.md</x:v>
      </x:c>
    </x:row>
    <x:row r="28">
      <x:c r="A28" s="20" t="str">
        <x:v>T06-C27</x:v>
      </x:c>
      <x:c r="B28" s="20" t="str">
        <x:v>L-007, L-009</x:v>
      </x:c>
      <x:c r="C28" s="20" t="str">
        <x:v>로컬 통과</x:v>
      </x:c>
      <x:c r="D28" s="20" t="str">
        <x:v>docs/REQUIREMENTS.md</x:v>
      </x:c>
    </x:row>
    <x:row r="29">
      <x:c r="A29" s="20" t="str">
        <x:v>T06-C21</x:v>
      </x:c>
      <x:c r="B29" s="20" t="str">
        <x:v>L-008</x:v>
      </x:c>
      <x:c r="C29" s="20" t="str">
        <x:v>로컬 통과</x:v>
      </x:c>
      <x:c r="D29" s="20" t="str">
        <x:v>docs/REQUIREMENTS.md</x:v>
      </x:c>
    </x:row>
    <x:row r="30">
      <x:c r="A30" s="20" t="str">
        <x:v>T06-C22</x:v>
      </x:c>
      <x:c r="B30" s="20" t="str">
        <x:v>L-008</x:v>
      </x:c>
      <x:c r="C30" s="20" t="str">
        <x:v>로컬 통과</x:v>
      </x:c>
      <x:c r="D30" s="20" t="str">
        <x:v>docs/REQUIREMENTS.md</x:v>
      </x:c>
    </x:row>
    <x:row r="31">
      <x:c r="A31" s="20" t="str">
        <x:v>T06-C28</x:v>
      </x:c>
      <x:c r="B31" s="20" t="str">
        <x:v>L-006, L-008, L-009</x:v>
      </x:c>
      <x:c r="C31" s="20" t="str">
        <x:v>로컬 통과</x:v>
      </x:c>
      <x:c r="D31" s="20" t="str">
        <x:v>docs/REQUIREMENTS.md</x:v>
      </x:c>
    </x:row>
    <x:row r="32">
      <x:c r="A32" s="20" t="str">
        <x:v>T06-C29</x:v>
      </x:c>
      <x:c r="B32" s="20" t="str">
        <x:v>L-006, L-008, L-009</x:v>
      </x:c>
      <x:c r="C32" s="20" t="str">
        <x:v>로컬 통과</x:v>
      </x:c>
      <x:c r="D32" s="20" t="str">
        <x:v>docs/REQUIREMENTS.md</x:v>
      </x:c>
    </x:row>
    <x:row r="33">
      <x:c r="A33" s="20" t="str">
        <x:v>T06-C30</x:v>
      </x:c>
      <x:c r="B33" s="20" t="str">
        <x:v>L-006, L-008, L-009</x:v>
      </x:c>
      <x:c r="C33" s="20" t="str">
        <x:v>로컬 통과</x:v>
      </x:c>
      <x:c r="D33" s="20" t="str">
        <x:v>docs/REQUIREMENTS.md</x:v>
      </x:c>
    </x:row>
    <x:row r="34">
      <x:c r="A34" s="20" t="str">
        <x:v>T06-C31</x:v>
      </x:c>
      <x:c r="B34" s="20" t="str">
        <x:v>L-006, L-008, L-009</x:v>
      </x:c>
      <x:c r="C34" s="20" t="str">
        <x:v>로컬 통과</x:v>
      </x:c>
      <x:c r="D34" s="20" t="str">
        <x:v>docs/REQUIREMENTS.md</x:v>
      </x:c>
    </x:row>
    <x:row r="35">
      <x:c r="A35" s="20" t="str">
        <x:v>T06-C32</x:v>
      </x:c>
      <x:c r="B35" s="20" t="str">
        <x:v>L-006, L-008, L-009</x:v>
      </x:c>
      <x:c r="C35" s="20" t="str">
        <x:v>로컬 통과</x:v>
      </x:c>
      <x:c r="D35" s="20" t="str">
        <x:v>docs/REQUIREMENTS.md</x:v>
      </x:c>
    </x:row>
    <x:row r="36">
      <x:c r="A36" s="20" t="str">
        <x:v>T06-C83</x:v>
      </x:c>
      <x:c r="B36" s="20" t="str">
        <x:v>L-006, P-002</x:v>
      </x:c>
      <x:c r="C36" s="20" t="str">
        <x:v>로컬 통과·운영 대기</x:v>
      </x:c>
      <x:c r="D36" s="20" t="str">
        <x:v>docs/REQUIREMENTS.md</x:v>
      </x:c>
    </x:row>
    <x:row r="37">
      <x:c r="A37" s="20" t="str">
        <x:v>T06-C33</x:v>
      </x:c>
      <x:c r="B37" s="20" t="str">
        <x:v>L-006, L-008, L-009</x:v>
      </x:c>
      <x:c r="C37" s="20" t="str">
        <x:v>로컬 통과</x:v>
      </x:c>
      <x:c r="D37" s="20" t="str">
        <x:v>docs/REQUIREMENTS.md</x:v>
      </x:c>
    </x:row>
    <x:row r="38">
      <x:c r="A38" s="20" t="str">
        <x:v>T06-C34</x:v>
      </x:c>
      <x:c r="B38" s="20" t="str">
        <x:v>L-007, L-010</x:v>
      </x:c>
      <x:c r="C38" s="20" t="str">
        <x:v>로컬 통과</x:v>
      </x:c>
      <x:c r="D38" s="20" t="str">
        <x:v>docs/REQUIREMENTS.md</x:v>
      </x:c>
    </x:row>
    <x:row r="39">
      <x:c r="A39" s="20" t="str">
        <x:v>T06-C35</x:v>
      </x:c>
      <x:c r="B39" s="20" t="str">
        <x:v>L-007, L-010</x:v>
      </x:c>
      <x:c r="C39" s="20" t="str">
        <x:v>로컬 통과</x:v>
      </x:c>
      <x:c r="D39" s="20" t="str">
        <x:v>docs/REQUIREMENTS.md</x:v>
      </x:c>
    </x:row>
    <x:row r="40">
      <x:c r="A40" s="20" t="str">
        <x:v>T06-C78</x:v>
      </x:c>
      <x:c r="B40" s="20" t="str">
        <x:v>L-005, L-006, P-002</x:v>
      </x:c>
      <x:c r="C40" s="20" t="str">
        <x:v>로컬 통과·운영 대기</x:v>
      </x:c>
      <x:c r="D40" s="20" t="str">
        <x:v>docs/REQUIREMENTS.md</x:v>
      </x:c>
    </x:row>
    <x:row r="41">
      <x:c r="A41" s="20" t="str">
        <x:v>T06-C79</x:v>
      </x:c>
      <x:c r="B41" s="20" t="str">
        <x:v>L-005, L-006, P-002</x:v>
      </x:c>
      <x:c r="C41" s="20" t="str">
        <x:v>로컬 통과·운영 대기</x:v>
      </x:c>
      <x:c r="D41" s="20" t="str">
        <x:v>docs/REQUIREMENTS.md</x:v>
      </x:c>
    </x:row>
    <x:row r="42">
      <x:c r="A42" s="20" t="str">
        <x:v>T06-C80</x:v>
      </x:c>
      <x:c r="B42" s="20" t="str">
        <x:v>L-005, L-006, P-002</x:v>
      </x:c>
      <x:c r="C42" s="20" t="str">
        <x:v>로컬 통과·운영 대기</x:v>
      </x:c>
      <x:c r="D42" s="20" t="str">
        <x:v>docs/REQUIREMENTS.md</x:v>
      </x:c>
    </x:row>
    <x:row r="43">
      <x:c r="A43" s="20" t="str">
        <x:v>T06-C81</x:v>
      </x:c>
      <x:c r="B43" s="20" t="str">
        <x:v>L-005, L-006, P-002</x:v>
      </x:c>
      <x:c r="C43" s="20" t="str">
        <x:v>로컬 통과·운영 대기</x:v>
      </x:c>
      <x:c r="D43" s="20" t="str">
        <x:v>docs/REQUIREMENTS.md</x:v>
      </x:c>
    </x:row>
    <x:row r="44">
      <x:c r="A44" s="20" t="str">
        <x:v>T06-C36</x:v>
      </x:c>
      <x:c r="B44" s="20" t="str">
        <x:v>L-010</x:v>
      </x:c>
      <x:c r="C44" s="20" t="str">
        <x:v>로컬 통과</x:v>
      </x:c>
      <x:c r="D44" s="20" t="str">
        <x:v>docs/REQUIREMENTS.md</x:v>
      </x:c>
    </x:row>
    <x:row r="45">
      <x:c r="A45" s="20" t="str">
        <x:v>T06-C82</x:v>
      </x:c>
      <x:c r="B45" s="20" t="str">
        <x:v>L-005, P-001</x:v>
      </x:c>
      <x:c r="C45" s="20" t="str">
        <x:v>로컬 통과·운영 대기</x:v>
      </x:c>
      <x:c r="D45" s="20" t="str">
        <x:v>docs/REQUIREMENTS.md</x:v>
      </x:c>
    </x:row>
    <x:row r="46">
      <x:c r="A46" s="20" t="str">
        <x:v>T06-C58</x:v>
      </x:c>
      <x:c r="B46" s="20" t="str">
        <x:v>L-001, L-004, P-004</x:v>
      </x:c>
      <x:c r="C46" s="20" t="str">
        <x:v>로컬 통과·운영 대기</x:v>
      </x:c>
      <x:c r="D46" s="20" t="str">
        <x:v>docs/REQUIREMENTS.md</x:v>
      </x:c>
    </x:row>
    <x:row r="47">
      <x:c r="A47" s="20" t="str">
        <x:v>T06-C57</x:v>
      </x:c>
      <x:c r="B47" s="20" t="str">
        <x:v>L-007</x:v>
      </x:c>
      <x:c r="C47" s="20" t="str">
        <x:v>로컬 통과</x:v>
      </x:c>
      <x:c r="D47" s="20" t="str">
        <x:v>docs/REQUIREMENTS.md</x:v>
      </x:c>
    </x:row>
    <x:row r="48">
      <x:c r="A48" s="20" t="str">
        <x:v>T06-C59</x:v>
      </x:c>
      <x:c r="B48" s="20" t="str">
        <x:v>docs/SUBMISSION.md</x:v>
      </x:c>
      <x:c r="C48" s="20" t="str">
        <x:v>로컬 통과</x:v>
      </x:c>
      <x:c r="D48" s="20" t="str">
        <x:v>docs/REQUIREMENTS.md</x:v>
      </x:c>
    </x:row>
    <x:row r="49">
      <x:c r="A49" s="20" t="str">
        <x:v>T06-C60</x:v>
      </x:c>
      <x:c r="B49" s="20" t="str">
        <x:v>docs/SUBMISSION.md</x:v>
      </x:c>
      <x:c r="C49" s="20" t="str">
        <x:v>로컬 통과</x:v>
      </x:c>
      <x:c r="D49" s="20" t="str">
        <x:v>docs/REQUIREMENTS.md</x:v>
      </x:c>
    </x:row>
    <x:row r="50">
      <x:c r="A50" s="21" t="str">
        <x:v>T06-C01</x:v>
      </x:c>
      <x:c r="B50" s="21" t="str">
        <x:v>P-001, P-004</x:v>
      </x:c>
      <x:c r="C50" s="21" t="str">
        <x:v>로컬 통과·운영 대기</x:v>
      </x:c>
      <x:c r="D50" s="21" t="str">
        <x:v>docs/REQUIREMENTS.md</x:v>
      </x:c>
    </x:row>
  </x:sheetData>
  <x:mergeCells>
    <x:mergeCell ref="A2:D2"/>
    <x:mergeCell ref="A3:D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B6F9F"/>
  </x:sheetPr>
  <x:sheetViews>
    <x:sheetView showGridLines="0" workbookViewId="0"/>
  </x:sheetViews>
  <x:sheetFormatPr defaultRowHeight="15"/>
  <x:cols>
    <x:col min="1" max="1" width="10" hidden="0" customWidth="1"/>
    <x:col min="2" max="2" width="23" hidden="0" customWidth="1"/>
    <x:col min="3" max="3" width="12" hidden="0" customWidth="1"/>
    <x:col min="4" max="4" width="29" hidden="0" customWidth="1"/>
    <x:col min="5" max="5" width="12" hidden="0" customWidth="1"/>
    <x:col min="6" max="6" width="35" hidden="0" customWidth="1"/>
    <x:col min="7" max="7" width="31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실행 이력</x:v>
      </x:c>
      <x:c r="B2" s="2"/>
      <x:c r="C2" s="2"/>
      <x:c r="D2" s="2"/>
      <x:c r="E2" s="2"/>
      <x:c r="F2" s="2"/>
      <x:c r="G2" s="2"/>
    </x:row>
    <x:row r="3">
      <x:c r="A3" s="4" t="str">
        <x:v>재현 가능한 명령과 수정·재검증 기록</x:v>
      </x:c>
      <x:c r="B3" s="2"/>
      <x:c r="C3" s="2"/>
      <x:c r="D3" s="2"/>
      <x:c r="E3" s="2"/>
      <x:c r="F3" s="2"/>
      <x:c r="G3" s="2"/>
    </x:row>
    <x:row r="4">
      <x:c r="A4" s="5"/>
      <x:c r="B4" s="5"/>
      <x:c r="C4" s="5"/>
      <x:c r="D4" s="5"/>
      <x:c r="E4" s="5"/>
      <x:c r="F4" s="5"/>
      <x:c r="G4" s="5"/>
    </x:row>
    <x:row r="5">
      <x:c r="A5" s="2"/>
      <x:c r="B5" s="2"/>
      <x:c r="C5" s="2"/>
      <x:c r="D5" s="2"/>
      <x:c r="E5" s="2"/>
      <x:c r="F5" s="2"/>
      <x:c r="G5" s="2"/>
    </x:row>
    <x:row r="6" ht="28" customHeight="1">
      <x:c r="A6" s="12" t="str">
        <x:v>순서</x:v>
      </x:c>
      <x:c r="B6" s="18" t="str">
        <x:v>시각(KST)</x:v>
      </x:c>
      <x:c r="C6" s="18" t="str">
        <x:v>환경</x:v>
      </x:c>
      <x:c r="D6" s="18" t="str">
        <x:v>명령</x:v>
      </x:c>
      <x:c r="E6" s="18" t="str">
        <x:v>결과</x:v>
      </x:c>
      <x:c r="F6" s="18" t="str">
        <x:v>발견 사항</x:v>
      </x:c>
      <x:c r="G6" s="13" t="str">
        <x:v>조치</x:v>
      </x:c>
    </x:row>
    <x:row r="7" ht="34" customHeight="1">
      <x:c r="A7" s="19" t="n">
        <x:v>1</x:v>
      </x:c>
      <x:c r="B7" s="19" t="str">
        <x:v>2026-09-10 22:35</x:v>
      </x:c>
      <x:c r="C7" s="19" t="str">
        <x:v>로컬</x:v>
      </x:c>
      <x:c r="D7" s="27" t="str">
        <x:v>pnpm test:all</x:v>
      </x:c>
      <x:c r="E7" s="27" t="str">
        <x:v>실패</x:v>
      </x:c>
      <x:c r="F7" s="27" t="str">
        <x:v>Vitest가 Playwright 파일을 함께 수집</x:v>
      </x:c>
      <x:c r="G7" s="27" t="str">
        <x:v>vitest exclude로 러너 범위 분리</x:v>
      </x:c>
    </x:row>
    <x:row r="8" ht="34" customHeight="1">
      <x:c r="A8" s="20" t="n">
        <x:v>2</x:v>
      </x:c>
      <x:c r="B8" s="20" t="str">
        <x:v>2026-09-10 22:35</x:v>
      </x:c>
      <x:c r="C8" s="20" t="str">
        <x:v>로컬</x:v>
      </x:c>
      <x:c r="D8" s="28" t="str">
        <x:v>pnpm test:all</x:v>
      </x:c>
      <x:c r="E8" s="28" t="str">
        <x:v>통과</x:v>
      </x:c>
      <x:c r="F8" s="28" t="str">
        <x:v>단위 8·E2E 6 통과</x:v>
      </x:c>
      <x:c r="G8" s="28" t="str">
        <x:v>로컬 기준선 확정</x:v>
      </x:c>
    </x:row>
    <x:row r="9" ht="34" customHeight="1">
      <x:c r="A9" s="21" t="n">
        <x:v>3</x:v>
      </x:c>
      <x:c r="B9" s="21" t="str">
        <x:v>배포 후</x:v>
      </x:c>
      <x:c r="C9" s="21" t="str">
        <x:v>운영</x:v>
      </x:c>
      <x:c r="D9" s="29" t="str">
        <x:v>pnpm test:e2e:production</x:v>
      </x:c>
      <x:c r="E9" s="29" t="str">
        <x:v>대기</x:v>
      </x:c>
      <x:c r="F9" s="29" t="str">
        <x:v>-</x:v>
      </x:c>
      <x:c r="G9" s="29" t="str">
        <x:v>운영 URL 확정 후 실행</x:v>
      </x:c>
    </x:row>
  </x:sheetData>
  <x:mergeCells>
    <x:mergeCell ref="A2:G2"/>
    <x:mergeCell ref="A3:G3"/>
  </x:mergeCells>
  <x:pageMargins left="0.7" right="0.7" top="0.75" bottom="0.75" header="0.3" footer="0.3"/>
</x:worksheet>
</file>